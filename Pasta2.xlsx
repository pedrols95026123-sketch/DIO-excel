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450" documentId="11_7F4755BF84DCCE43E268565A8931F45BFA75341E" xr6:coauthVersionLast="47" xr6:coauthVersionMax="47" xr10:uidLastSave="{327295F5-AFBA-4DBA-BCA6-252D4BCBB39C}"/>
  <bookViews>
    <workbookView xWindow="240" yWindow="105" windowWidth="14805" windowHeight="8010" xr2:uid="{00000000-000D-0000-FFFF-FFFF00000000}"/>
  </bookViews>
  <sheets>
    <sheet name="Planilha1" sheetId="1" r:id="rId1"/>
    <sheet name="Planilha2" sheetId="2" r:id="rId2"/>
  </sheets>
  <definedNames>
    <definedName name="aporte">Planilha1!$C$4:$C$4</definedName>
    <definedName name="FV">Planilha1!$C$7:$C$7</definedName>
    <definedName name="período">Planilha1!$C$5:$C$5</definedName>
    <definedName name="sugestão_aporte">Planilha1!$G$7:$G$7</definedName>
    <definedName name="sugestão_emergência">Planilha1!$G$6:$G$6</definedName>
    <definedName name="taxa">Planilha1!$B$6:$B$6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I13" i="1" s="1"/>
  <c r="H14" i="1"/>
  <c r="I14" i="1" s="1"/>
  <c r="H15" i="1"/>
  <c r="I15" i="1" s="1"/>
  <c r="H12" i="1"/>
  <c r="I12" i="1" s="1"/>
  <c r="H10" i="1" s="1"/>
  <c r="A7" i="2"/>
  <c r="A8" i="2"/>
  <c r="A9" i="2"/>
  <c r="A10" i="2"/>
  <c r="A11" i="2"/>
  <c r="A12" i="2"/>
  <c r="A13" i="2"/>
  <c r="A14" i="2"/>
  <c r="A15" i="2"/>
  <c r="A16" i="2"/>
  <c r="A17" i="2"/>
  <c r="A6" i="2"/>
  <c r="H6" i="1"/>
  <c r="H7" i="1"/>
  <c r="C6" i="1"/>
  <c r="C15" i="1"/>
  <c r="D15" i="1" s="1"/>
  <c r="C14" i="1"/>
  <c r="D14" i="1" s="1"/>
  <c r="C13" i="1"/>
  <c r="D13" i="1" s="1"/>
  <c r="C12" i="1"/>
  <c r="D12" i="1" s="1"/>
  <c r="C11" i="1"/>
  <c r="D11" i="1" s="1"/>
  <c r="C7" i="1"/>
  <c r="C8" i="1" s="1"/>
</calcChain>
</file>

<file path=xl/sharedStrings.xml><?xml version="1.0" encoding="utf-8"?>
<sst xmlns="http://schemas.openxmlformats.org/spreadsheetml/2006/main" count="55" uniqueCount="31">
  <si>
    <t>INVESTIMENTO MENSAL</t>
  </si>
  <si>
    <t>VARIÁVEIS GLOBAIS</t>
  </si>
  <si>
    <t>Quanto investir por mês?</t>
  </si>
  <si>
    <t>Salário:</t>
  </si>
  <si>
    <t>por quantos anos?</t>
  </si>
  <si>
    <t xml:space="preserve">Rendimento mensal: </t>
  </si>
  <si>
    <t>taxa de rendimento mensal (a.m.):</t>
  </si>
  <si>
    <t>Sugestão de reserva de emergência:</t>
  </si>
  <si>
    <t>patrimônio acumulado</t>
  </si>
  <si>
    <t>sugestão de aporte mensal:</t>
  </si>
  <si>
    <t>quanto de dividendos mensais após período de acumulação?</t>
  </si>
  <si>
    <t>perfil:</t>
  </si>
  <si>
    <t>moderado</t>
  </si>
  <si>
    <t>OUTROS CENÁRIOS TEMPORAIS</t>
  </si>
  <si>
    <t xml:space="preserve">DIVIDENDOS APÓS ACUMULAÇÃO: </t>
  </si>
  <si>
    <t xml:space="preserve">VALOR TOTAL DE APORTE MENSAL: </t>
  </si>
  <si>
    <t>2 ANOS:</t>
  </si>
  <si>
    <t>TIPO DE FUNDO</t>
  </si>
  <si>
    <t>%</t>
  </si>
  <si>
    <t>VALORES</t>
  </si>
  <si>
    <t>5 ANOS:</t>
  </si>
  <si>
    <t>PAPEL</t>
  </si>
  <si>
    <t>10 ANOS:</t>
  </si>
  <si>
    <t>TIJOLO</t>
  </si>
  <si>
    <t>15 ANOS:</t>
  </si>
  <si>
    <t>HÍBRIDO</t>
  </si>
  <si>
    <t xml:space="preserve">20 ANOS: </t>
  </si>
  <si>
    <t>INFRAESTRUTURA</t>
  </si>
  <si>
    <t>PERFIL</t>
  </si>
  <si>
    <t>conservador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</si>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</sst>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_-[$R$-416]\ * #,##0.00_-;\-[$R$-416]\ * #,##0.00_-;_-[$R$-416]\ * &quot;-&quot;??_-;_-@_-"/>
    <numFmt numFmtId="165" formatCode="&quot;R$&quot;\ #,##0.00"/>
  </numFmts>
  <fonts count="8">
    <font>
      <sz val="11"/>
      <color theme="1"/>
      <name val="Aptos Narrow"/>
      <family val="2"/>
      <scheme val="minor"/>
    </font>
    <font>
      <b/>
      <sz val="16"/>
      <color rgb="FFFFFFFF"/>
      <name val="Aptos Display"/>
      <scheme val="major"/>
    </font>
    <font>
      <b/>
      <sz val="11"/>
      <color theme="1"/>
      <name val="Aptos Narrow"/>
      <family val="2"/>
      <scheme val="minor"/>
    </font>
    <font>
      <b/>
      <sz val="10"/>
      <color rgb="FFFFFFFF"/>
      <name val="Aptos Display"/>
      <scheme val="major"/>
    </font>
    <font>
      <b/>
      <i/>
      <sz val="11"/>
      <color theme="1"/>
      <name val="Aptos Narrow"/>
      <family val="2"/>
      <scheme val="minor"/>
    </font>
    <font>
      <b/>
      <i/>
      <sz val="11"/>
      <color theme="5" tint="-0.499984740745262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0CA0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3AA00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theme="9" tint="-0.499984740745262"/>
      </left>
      <right style="dashed">
        <color theme="1" tint="0.499984740745262"/>
      </right>
      <top style="medium">
        <color theme="9" tint="-0.499984740745262"/>
      </top>
      <bottom style="dotted">
        <color theme="1" tint="0.499984740745262"/>
      </bottom>
      <diagonal/>
    </border>
    <border>
      <left style="dashed">
        <color theme="1" tint="0.499984740745262"/>
      </left>
      <right style="medium">
        <color theme="9" tint="-0.499984740745262"/>
      </right>
      <top style="medium">
        <color theme="9" tint="-0.499984740745262"/>
      </top>
      <bottom style="dotted">
        <color theme="1" tint="0.499984740745262"/>
      </bottom>
      <diagonal/>
    </border>
    <border>
      <left style="medium">
        <color theme="9" tint="-0.499984740745262"/>
      </left>
      <right style="dash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ashed">
        <color theme="1" tint="0.499984740745262"/>
      </left>
      <right style="medium">
        <color theme="9" tint="-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theme="9" tint="-0.499984740745262"/>
      </left>
      <right style="dashed">
        <color theme="1" tint="0.499984740745262"/>
      </right>
      <top style="dotted">
        <color theme="1" tint="0.499984740745262"/>
      </top>
      <bottom style="medium">
        <color theme="9" tint="-0.499984740745262"/>
      </bottom>
      <diagonal/>
    </border>
    <border>
      <left style="dashed">
        <color theme="1" tint="0.499984740745262"/>
      </left>
      <right style="medium">
        <color theme="9" tint="-0.499984740745262"/>
      </right>
      <top style="dotted">
        <color theme="1" tint="0.499984740745262"/>
      </top>
      <bottom style="medium">
        <color theme="9" tint="-0.499984740745262"/>
      </bottom>
      <diagonal/>
    </border>
    <border>
      <left style="dashed">
        <color theme="1" tint="0.499984740745262"/>
      </left>
      <right/>
      <top style="medium">
        <color theme="9" tint="-0.499984740745262"/>
      </top>
      <bottom style="dotted">
        <color theme="1" tint="0.499984740745262"/>
      </bottom>
      <diagonal/>
    </border>
    <border>
      <left style="dashed">
        <color theme="1" tint="0.499984740745262"/>
      </left>
      <right/>
      <top style="dotted">
        <color theme="1" tint="0.499984740745262"/>
      </top>
      <bottom style="dotted">
        <color theme="1" tint="0.499984740745262"/>
      </bottom>
      <diagonal/>
    </border>
    <border>
      <left style="dashed">
        <color theme="1" tint="0.499984740745262"/>
      </left>
      <right/>
      <top style="dotted">
        <color theme="1" tint="0.499984740745262"/>
      </top>
      <bottom style="medium">
        <color theme="9" tint="-0.499984740745262"/>
      </bottom>
      <diagonal/>
    </border>
    <border>
      <left style="medium">
        <color theme="1" tint="0.249977111117893"/>
      </left>
      <right/>
      <top style="medium">
        <color theme="1" tint="0.249977111117893"/>
      </top>
      <bottom style="dotted">
        <color theme="1" tint="0.499984740745262"/>
      </bottom>
      <diagonal/>
    </border>
    <border>
      <left/>
      <right style="medium">
        <color theme="1" tint="0.249977111117893"/>
      </right>
      <top style="medium">
        <color theme="1" tint="0.249977111117893"/>
      </top>
      <bottom style="dotted">
        <color theme="1" tint="0.499984740745262"/>
      </bottom>
      <diagonal/>
    </border>
    <border>
      <left style="medium">
        <color theme="1" tint="0.249977111117893"/>
      </left>
      <right/>
      <top/>
      <bottom/>
      <diagonal/>
    </border>
    <border>
      <left/>
      <right style="medium">
        <color theme="1" tint="0.249977111117893"/>
      </right>
      <top/>
      <bottom/>
      <diagonal/>
    </border>
    <border>
      <left style="medium">
        <color theme="1" tint="0.249977111117893"/>
      </left>
      <right/>
      <top style="dotted">
        <color theme="1" tint="0.249977111117893"/>
      </top>
      <bottom style="dotted">
        <color theme="1" tint="0.249977111117893"/>
      </bottom>
      <diagonal/>
    </border>
    <border>
      <left/>
      <right style="medium">
        <color theme="1" tint="0.249977111117893"/>
      </right>
      <top style="dotted">
        <color theme="1" tint="0.249977111117893"/>
      </top>
      <bottom style="dotted">
        <color theme="1" tint="0.249977111117893"/>
      </bottom>
      <diagonal/>
    </border>
    <border>
      <left style="medium">
        <color theme="1" tint="0.249977111117893"/>
      </left>
      <right/>
      <top style="dotted">
        <color theme="1" tint="0.249977111117893"/>
      </top>
      <bottom style="medium">
        <color theme="1" tint="0.249977111117893"/>
      </bottom>
      <diagonal/>
    </border>
    <border>
      <left/>
      <right style="medium">
        <color theme="1" tint="0.249977111117893"/>
      </right>
      <top style="dotted">
        <color theme="1" tint="0.249977111117893"/>
      </top>
      <bottom style="medium">
        <color theme="1" tint="0.249977111117893"/>
      </bottom>
      <diagonal/>
    </border>
    <border>
      <left style="medium">
        <color theme="1" tint="0.249977111117893"/>
      </left>
      <right/>
      <top style="medium">
        <color theme="1" tint="0.249977111117893"/>
      </top>
      <bottom style="medium">
        <color theme="1" tint="0.249977111117893"/>
      </bottom>
      <diagonal/>
    </border>
    <border>
      <left/>
      <right/>
      <top style="medium">
        <color theme="1" tint="0.249977111117893"/>
      </top>
      <bottom style="medium">
        <color theme="1" tint="0.249977111117893"/>
      </bottom>
      <diagonal/>
    </border>
    <border>
      <left/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/>
      <right/>
      <top style="medium">
        <color theme="1" tint="0.249977111117893"/>
      </top>
      <bottom/>
      <diagonal/>
    </border>
    <border>
      <left style="dotted">
        <color theme="1" tint="0.249977111117893"/>
      </left>
      <right style="medium">
        <color theme="1" tint="0.249977111117893"/>
      </right>
      <top style="dotted">
        <color theme="1" tint="0.249977111117893"/>
      </top>
      <bottom style="dotted">
        <color theme="1" tint="0.249977111117893"/>
      </bottom>
      <diagonal/>
    </border>
    <border>
      <left style="medium">
        <color theme="1" tint="0.249977111117893"/>
      </left>
      <right/>
      <top style="medium">
        <color theme="1" tint="0.249977111117893"/>
      </top>
      <bottom/>
      <diagonal/>
    </border>
    <border>
      <left style="dashed">
        <color theme="1" tint="0.249977111117893"/>
      </left>
      <right style="dotted">
        <color theme="1" tint="0.249977111117893"/>
      </right>
      <top style="dotted">
        <color theme="1" tint="0.249977111117893"/>
      </top>
      <bottom style="dotted">
        <color theme="1" tint="0.249977111117893"/>
      </bottom>
      <diagonal/>
    </border>
    <border>
      <left style="medium">
        <color theme="1" tint="0.249977111117893"/>
      </left>
      <right style="medium">
        <color theme="1" tint="0.249977111117893"/>
      </right>
      <top style="medium">
        <color theme="1" tint="0.249977111117893"/>
      </top>
      <bottom/>
      <diagonal/>
    </border>
    <border>
      <left style="medium">
        <color theme="1" tint="0.249977111117893"/>
      </left>
      <right style="medium">
        <color theme="1" tint="0.249977111117893"/>
      </right>
      <top/>
      <bottom style="medium">
        <color theme="1" tint="0.249977111117893"/>
      </bottom>
      <diagonal/>
    </border>
    <border>
      <left style="medium">
        <color theme="1" tint="0.249977111117893"/>
      </left>
      <right/>
      <top/>
      <bottom style="medium">
        <color theme="1" tint="0.249977111117893"/>
      </bottom>
      <diagonal/>
    </border>
    <border>
      <left style="dashed">
        <color theme="1" tint="0.249977111117893"/>
      </left>
      <right style="medium">
        <color theme="1" tint="0.249977111117893"/>
      </right>
      <top style="medium">
        <color theme="1" tint="0.249977111117893"/>
      </top>
      <bottom/>
      <diagonal/>
    </border>
    <border>
      <left style="dashed">
        <color theme="1" tint="0.249977111117893"/>
      </left>
      <right style="medium">
        <color theme="1" tint="0.249977111117893"/>
      </right>
      <top/>
      <bottom style="medium">
        <color theme="1" tint="0.249977111117893"/>
      </bottom>
      <diagonal/>
    </border>
    <border>
      <left style="medium">
        <color theme="1" tint="0.249977111117893"/>
      </left>
      <right style="dashed">
        <color theme="1" tint="0.249977111117893"/>
      </right>
      <top style="medium">
        <color theme="1" tint="0.249977111117893"/>
      </top>
      <bottom style="dotted">
        <color theme="1" tint="0.249977111117893"/>
      </bottom>
      <diagonal/>
    </border>
    <border>
      <left style="dashed">
        <color theme="1" tint="0.249977111117893"/>
      </left>
      <right style="dashed">
        <color theme="1" tint="0.249977111117893"/>
      </right>
      <top style="medium">
        <color theme="1" tint="0.249977111117893"/>
      </top>
      <bottom style="dotted">
        <color theme="1" tint="0.249977111117893"/>
      </bottom>
      <diagonal/>
    </border>
    <border>
      <left style="dashed">
        <color theme="1" tint="0.249977111117893"/>
      </left>
      <right style="medium">
        <color theme="1" tint="0.249977111117893"/>
      </right>
      <top style="medium">
        <color theme="1" tint="0.249977111117893"/>
      </top>
      <bottom style="dotted">
        <color theme="1" tint="0.249977111117893"/>
      </bottom>
      <diagonal/>
    </border>
    <border>
      <left style="medium">
        <color theme="1" tint="0.249977111117893"/>
      </left>
      <right style="dashed">
        <color theme="1" tint="0.249977111117893"/>
      </right>
      <top style="dotted">
        <color theme="1" tint="0.249977111117893"/>
      </top>
      <bottom style="dotted">
        <color theme="1" tint="0.249977111117893"/>
      </bottom>
      <diagonal/>
    </border>
    <border>
      <left style="dashed">
        <color theme="1" tint="0.249977111117893"/>
      </left>
      <right style="dashed">
        <color theme="1" tint="0.249977111117893"/>
      </right>
      <top style="dotted">
        <color theme="1" tint="0.249977111117893"/>
      </top>
      <bottom style="dotted">
        <color theme="1" tint="0.249977111117893"/>
      </bottom>
      <diagonal/>
    </border>
    <border>
      <left style="dashed">
        <color theme="1" tint="0.249977111117893"/>
      </left>
      <right style="medium">
        <color theme="1" tint="0.249977111117893"/>
      </right>
      <top style="dotted">
        <color theme="1" tint="0.249977111117893"/>
      </top>
      <bottom style="dotted">
        <color theme="1" tint="0.249977111117893"/>
      </bottom>
      <diagonal/>
    </border>
    <border>
      <left style="medium">
        <color theme="1" tint="0.249977111117893"/>
      </left>
      <right style="dashed">
        <color theme="1" tint="0.249977111117893"/>
      </right>
      <top style="dotted">
        <color theme="1" tint="0.249977111117893"/>
      </top>
      <bottom style="medium">
        <color theme="1" tint="0.249977111117893"/>
      </bottom>
      <diagonal/>
    </border>
    <border>
      <left style="dashed">
        <color theme="1" tint="0.249977111117893"/>
      </left>
      <right style="dashed">
        <color theme="1" tint="0.249977111117893"/>
      </right>
      <top style="dotted">
        <color theme="1" tint="0.249977111117893"/>
      </top>
      <bottom style="medium">
        <color theme="1" tint="0.249977111117893"/>
      </bottom>
      <diagonal/>
    </border>
    <border>
      <left style="dashed">
        <color theme="1" tint="0.249977111117893"/>
      </left>
      <right style="medium">
        <color theme="1" tint="0.249977111117893"/>
      </right>
      <top style="dotted">
        <color theme="1" tint="0.249977111117893"/>
      </top>
      <bottom style="medium">
        <color theme="1" tint="0.249977111117893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8" fontId="2" fillId="3" borderId="6" xfId="0" applyNumberFormat="1" applyFont="1" applyFill="1" applyBorder="1" applyAlignment="1">
      <alignment horizontal="center" wrapText="1"/>
    </xf>
    <xf numFmtId="8" fontId="2" fillId="3" borderId="8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 wrapText="1"/>
    </xf>
    <xf numFmtId="164" fontId="2" fillId="3" borderId="9" xfId="0" applyNumberFormat="1" applyFont="1" applyFill="1" applyBorder="1" applyAlignment="1">
      <alignment horizontal="center"/>
    </xf>
    <xf numFmtId="164" fontId="2" fillId="3" borderId="10" xfId="0" applyNumberFormat="1" applyFont="1" applyFill="1" applyBorder="1" applyAlignment="1">
      <alignment horizontal="center"/>
    </xf>
    <xf numFmtId="164" fontId="2" fillId="3" borderId="10" xfId="0" applyNumberFormat="1" applyFont="1" applyFill="1" applyBorder="1" applyAlignment="1">
      <alignment horizontal="center" wrapText="1"/>
    </xf>
    <xf numFmtId="164" fontId="2" fillId="3" borderId="1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5" fontId="4" fillId="3" borderId="12" xfId="0" applyNumberFormat="1" applyFont="1" applyFill="1" applyBorder="1" applyAlignment="1">
      <alignment horizontal="center"/>
    </xf>
    <xf numFmtId="165" fontId="4" fillId="3" borderId="13" xfId="0" applyNumberFormat="1" applyFont="1" applyFill="1" applyBorder="1" applyAlignment="1">
      <alignment horizontal="center"/>
    </xf>
    <xf numFmtId="165" fontId="4" fillId="3" borderId="14" xfId="0" applyNumberFormat="1" applyFont="1" applyFill="1" applyBorder="1" applyAlignment="1">
      <alignment horizontal="center"/>
    </xf>
    <xf numFmtId="165" fontId="4" fillId="3" borderId="15" xfId="0" applyNumberFormat="1" applyFont="1" applyFill="1" applyBorder="1" applyAlignment="1">
      <alignment horizontal="center"/>
    </xf>
    <xf numFmtId="165" fontId="4" fillId="3" borderId="16" xfId="0" applyNumberFormat="1" applyFont="1" applyFill="1" applyBorder="1" applyAlignment="1">
      <alignment horizontal="center"/>
    </xf>
    <xf numFmtId="165" fontId="4" fillId="3" borderId="17" xfId="0" applyNumberFormat="1" applyFont="1" applyFill="1" applyBorder="1" applyAlignment="1">
      <alignment horizontal="center"/>
    </xf>
    <xf numFmtId="165" fontId="4" fillId="3" borderId="18" xfId="0" applyNumberFormat="1" applyFont="1" applyFill="1" applyBorder="1" applyAlignment="1">
      <alignment horizontal="center"/>
    </xf>
    <xf numFmtId="165" fontId="4" fillId="3" borderId="19" xfId="0" applyNumberFormat="1" applyFont="1" applyFill="1" applyBorder="1" applyAlignment="1">
      <alignment horizontal="center"/>
    </xf>
    <xf numFmtId="0" fontId="0" fillId="0" borderId="0" xfId="0" applyBorder="1"/>
    <xf numFmtId="0" fontId="0" fillId="3" borderId="5" xfId="0" applyFill="1" applyBorder="1" applyAlignment="1">
      <alignment horizontal="left"/>
    </xf>
    <xf numFmtId="10" fontId="0" fillId="3" borderId="6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8" fontId="7" fillId="3" borderId="28" xfId="0" applyNumberFormat="1" applyFont="1" applyFill="1" applyBorder="1" applyAlignment="1">
      <alignment horizontal="center" wrapText="1"/>
    </xf>
    <xf numFmtId="164" fontId="6" fillId="0" borderId="27" xfId="0" applyNumberFormat="1" applyFont="1" applyBorder="1" applyAlignment="1">
      <alignment horizontal="center"/>
    </xf>
    <xf numFmtId="0" fontId="2" fillId="3" borderId="29" xfId="0" applyFont="1" applyFill="1" applyBorder="1" applyAlignment="1">
      <alignment horizontal="left" wrapText="1"/>
    </xf>
    <xf numFmtId="10" fontId="6" fillId="0" borderId="24" xfId="0" applyNumberFormat="1" applyFont="1" applyBorder="1" applyAlignment="1">
      <alignment horizontal="center"/>
    </xf>
    <xf numFmtId="165" fontId="7" fillId="3" borderId="24" xfId="0" applyNumberFormat="1" applyFont="1" applyFill="1" applyBorder="1" applyAlignment="1">
      <alignment horizontal="center"/>
    </xf>
    <xf numFmtId="10" fontId="6" fillId="0" borderId="26" xfId="0" applyNumberFormat="1" applyFont="1" applyBorder="1" applyAlignment="1">
      <alignment horizontal="center"/>
    </xf>
    <xf numFmtId="165" fontId="7" fillId="3" borderId="26" xfId="0" applyNumberFormat="1" applyFont="1" applyFill="1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16" xfId="0" applyBorder="1" applyAlignment="1">
      <alignment horizontal="left" wrapText="1"/>
    </xf>
    <xf numFmtId="0" fontId="2" fillId="3" borderId="16" xfId="0" applyNumberFormat="1" applyFont="1" applyFill="1" applyBorder="1" applyAlignment="1">
      <alignment horizontal="left" wrapText="1"/>
    </xf>
    <xf numFmtId="164" fontId="6" fillId="0" borderId="30" xfId="0" applyNumberFormat="1" applyFont="1" applyBorder="1" applyAlignment="1">
      <alignment horizontal="center"/>
    </xf>
    <xf numFmtId="8" fontId="7" fillId="3" borderId="31" xfId="0" applyNumberFormat="1" applyFont="1" applyFill="1" applyBorder="1" applyAlignment="1">
      <alignment horizontal="center" wrapText="1"/>
    </xf>
    <xf numFmtId="0" fontId="5" fillId="4" borderId="20" xfId="0" applyFont="1" applyFill="1" applyBorder="1"/>
    <xf numFmtId="0" fontId="5" fillId="4" borderId="22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0" fontId="2" fillId="5" borderId="0" xfId="0" applyFont="1" applyFill="1"/>
    <xf numFmtId="165" fontId="2" fillId="5" borderId="23" xfId="0" applyNumberFormat="1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2" fillId="3" borderId="33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8" xfId="0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/>
    <xf numFmtId="10" fontId="0" fillId="0" borderId="36" xfId="0" applyNumberFormat="1" applyBorder="1" applyAlignment="1">
      <alignment horizontal="center"/>
    </xf>
    <xf numFmtId="10" fontId="0" fillId="0" borderId="39" xfId="0" applyNumberFormat="1" applyBorder="1" applyAlignment="1">
      <alignment horizontal="center"/>
    </xf>
    <xf numFmtId="165" fontId="0" fillId="0" borderId="37" xfId="0" applyNumberFormat="1" applyBorder="1" applyAlignment="1">
      <alignment horizontal="center"/>
    </xf>
    <xf numFmtId="165" fontId="0" fillId="0" borderId="40" xfId="0" applyNumberFormat="1" applyBorder="1" applyAlignment="1">
      <alignment horizontal="center"/>
    </xf>
    <xf numFmtId="0" fontId="1" fillId="6" borderId="25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E3AA00"/>
      <color rgb="FFF0CA0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ALOCAÇÃO INTELIGENTE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Planilha1!$G$12:$G$15</c:f>
              <c:strCache>
                <c:ptCount val="4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INFRAESTRUTURA</c:v>
                </c:pt>
              </c:strCache>
            </c:strRef>
          </c:cat>
          <c:val>
            <c:numRef>
              <c:f>Planilha1!$H$12:$H$15</c:f>
              <c:numCache>
                <c:formatCode>0.00%</c:formatCode>
                <c:ptCount val="4"/>
                <c:pt idx="0">
                  <c:v>0.6</c:v>
                </c:pt>
                <c:pt idx="1">
                  <c:v>0.3</c:v>
                </c:pt>
                <c:pt idx="2">
                  <c:v>0.1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93-4240-A875-0EE6BB350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123825</xdr:rowOff>
    </xdr:from>
    <xdr:to>
      <xdr:col>5</xdr:col>
      <xdr:colOff>295275</xdr:colOff>
      <xdr:row>8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3AF7E30-EFD4-6C40-F0FD-FAD977182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I15"/>
  <sheetViews>
    <sheetView showGridLines="0" tabSelected="1" workbookViewId="0">
      <selection activeCell="G3" sqref="G3:I3"/>
    </sheetView>
  </sheetViews>
  <sheetFormatPr defaultColWidth="0" defaultRowHeight="15"/>
  <cols>
    <col min="1" max="1" width="9.140625" customWidth="1"/>
    <col min="2" max="2" width="30.42578125" customWidth="1"/>
    <col min="3" max="3" width="14.5703125" customWidth="1"/>
    <col min="4" max="4" width="17.85546875" customWidth="1"/>
    <col min="5" max="5" width="15.28515625" customWidth="1"/>
    <col min="6" max="6" width="6.140625" customWidth="1"/>
    <col min="7" max="7" width="31.28515625" customWidth="1"/>
    <col min="8" max="8" width="27.7109375" bestFit="1" customWidth="1"/>
    <col min="9" max="9" width="14.28515625" customWidth="1"/>
    <col min="10" max="10" width="9.140625" customWidth="1"/>
  </cols>
  <sheetData>
    <row r="3" spans="2:9" ht="21">
      <c r="B3" s="14" t="s">
        <v>0</v>
      </c>
      <c r="C3" s="15"/>
      <c r="G3" s="58" t="s">
        <v>1</v>
      </c>
      <c r="H3" s="59"/>
      <c r="I3" s="59"/>
    </row>
    <row r="4" spans="2:9">
      <c r="B4" s="1" t="s">
        <v>2</v>
      </c>
      <c r="C4" s="44">
        <v>300</v>
      </c>
      <c r="G4" s="36" t="s">
        <v>3</v>
      </c>
      <c r="H4" s="39">
        <v>5000</v>
      </c>
      <c r="I4" s="30"/>
    </row>
    <row r="5" spans="2:9">
      <c r="B5" s="2" t="s">
        <v>4</v>
      </c>
      <c r="C5" s="5">
        <v>6</v>
      </c>
      <c r="G5" s="37" t="s">
        <v>5</v>
      </c>
      <c r="H5" s="34">
        <v>1.0789999999999999E-2</v>
      </c>
      <c r="I5" s="32"/>
    </row>
    <row r="6" spans="2:9" ht="15.75" customHeight="1">
      <c r="B6" s="26" t="s">
        <v>6</v>
      </c>
      <c r="C6" s="27">
        <f>H5</f>
        <v>1.0789999999999999E-2</v>
      </c>
      <c r="G6" s="38" t="s">
        <v>7</v>
      </c>
      <c r="H6" s="35">
        <f>H4*4.5</f>
        <v>22500</v>
      </c>
      <c r="I6" s="33"/>
    </row>
    <row r="7" spans="2:9">
      <c r="B7" s="3" t="s">
        <v>8</v>
      </c>
      <c r="C7" s="6">
        <f>FV(C6,(C5*12),-C4)</f>
        <v>32409.060297479977</v>
      </c>
      <c r="G7" s="31" t="s">
        <v>9</v>
      </c>
      <c r="H7" s="40">
        <f>H4*20%</f>
        <v>1000</v>
      </c>
      <c r="I7" s="29"/>
    </row>
    <row r="8" spans="2:9" ht="29.25">
      <c r="B8" s="9" t="s">
        <v>10</v>
      </c>
      <c r="C8" s="7">
        <f>C7*1%</f>
        <v>324.09060297479976</v>
      </c>
      <c r="G8" s="25"/>
    </row>
    <row r="9" spans="2:9" ht="16.5" customHeight="1">
      <c r="G9" s="41" t="s">
        <v>11</v>
      </c>
      <c r="H9" s="43" t="s">
        <v>12</v>
      </c>
      <c r="I9" s="42"/>
    </row>
    <row r="10" spans="2:9" ht="21">
      <c r="B10" s="14" t="s">
        <v>13</v>
      </c>
      <c r="C10" s="15"/>
      <c r="D10" s="16" t="s">
        <v>14</v>
      </c>
      <c r="E10" s="15"/>
      <c r="G10" s="45" t="s">
        <v>15</v>
      </c>
      <c r="H10" s="46">
        <f>SUM(I12:I15)</f>
        <v>300</v>
      </c>
      <c r="I10" s="46"/>
    </row>
    <row r="11" spans="2:9">
      <c r="B11" s="8" t="s">
        <v>16</v>
      </c>
      <c r="C11" s="10">
        <f>FV(C$6,2*12,-C$4)</f>
        <v>8168.2881892935648</v>
      </c>
      <c r="D11" s="17">
        <f>C11*$C$6</f>
        <v>88.135829562477554</v>
      </c>
      <c r="E11" s="18"/>
      <c r="G11" s="47" t="s">
        <v>17</v>
      </c>
      <c r="H11" s="48" t="s">
        <v>18</v>
      </c>
      <c r="I11" s="49" t="s">
        <v>19</v>
      </c>
    </row>
    <row r="12" spans="2:9">
      <c r="B12" s="3" t="s">
        <v>20</v>
      </c>
      <c r="C12" s="11">
        <f>FV(C$6,5*12,-C$4)</f>
        <v>25133.074199546292</v>
      </c>
      <c r="D12" s="19">
        <f t="shared" ref="D12:D15" si="0">C12*$C$6</f>
        <v>271.1858706131045</v>
      </c>
      <c r="E12" s="20"/>
      <c r="G12" s="50" t="s">
        <v>21</v>
      </c>
      <c r="H12" s="54">
        <f>VLOOKUP($H$9&amp;"-"&amp;G12,Planilha2!A5:D17,4,FALSE)</f>
        <v>0.6</v>
      </c>
      <c r="I12" s="56">
        <f>$C$4*H12</f>
        <v>180</v>
      </c>
    </row>
    <row r="13" spans="2:9">
      <c r="B13" s="3" t="s">
        <v>22</v>
      </c>
      <c r="C13" s="11">
        <f>FV(C$6,10*12,-C$4)</f>
        <v>72985.263759051653</v>
      </c>
      <c r="D13" s="21">
        <f>C13*$C$6</f>
        <v>787.51099596016729</v>
      </c>
      <c r="E13" s="22"/>
      <c r="G13" s="50" t="s">
        <v>23</v>
      </c>
      <c r="H13" s="54">
        <f>VLOOKUP($H$9&amp;"-"&amp;G13,Planilha2!A6:D18,4,FALSE)</f>
        <v>0.3</v>
      </c>
      <c r="I13" s="56">
        <f t="shared" ref="I13:I15" si="1">$C$4*H13</f>
        <v>90</v>
      </c>
    </row>
    <row r="14" spans="2:9">
      <c r="B14" s="3" t="s">
        <v>24</v>
      </c>
      <c r="C14" s="12">
        <f>FV(C$6,15*12,-C$4)</f>
        <v>164093.57894001628</v>
      </c>
      <c r="D14" s="19">
        <f t="shared" si="0"/>
        <v>1770.5697167627754</v>
      </c>
      <c r="E14" s="20"/>
      <c r="G14" s="50" t="s">
        <v>25</v>
      </c>
      <c r="H14" s="54">
        <f>VLOOKUP($H$9&amp;"-"&amp;G14,Planilha2!A7:D19,4,FALSE)</f>
        <v>0.1</v>
      </c>
      <c r="I14" s="56">
        <f t="shared" si="1"/>
        <v>30</v>
      </c>
    </row>
    <row r="15" spans="2:9">
      <c r="B15" s="4" t="s">
        <v>26</v>
      </c>
      <c r="C15" s="13">
        <f>FV(C$6,20*12,-C$4)</f>
        <v>337559.52002912416</v>
      </c>
      <c r="D15" s="23">
        <f t="shared" si="0"/>
        <v>3642.2672211142494</v>
      </c>
      <c r="E15" s="24"/>
      <c r="G15" s="51" t="s">
        <v>27</v>
      </c>
      <c r="H15" s="55">
        <f>VLOOKUP($H$9&amp;"-"&amp;G15,Planilha2!A8:D20,4,FALSE)</f>
        <v>0</v>
      </c>
      <c r="I15" s="57">
        <f t="shared" si="1"/>
        <v>0</v>
      </c>
    </row>
  </sheetData>
  <mergeCells count="15">
    <mergeCell ref="D12:E12"/>
    <mergeCell ref="D13:E13"/>
    <mergeCell ref="D14:E14"/>
    <mergeCell ref="D15:E15"/>
    <mergeCell ref="H6:I6"/>
    <mergeCell ref="H7:I7"/>
    <mergeCell ref="H4:I4"/>
    <mergeCell ref="H5:I5"/>
    <mergeCell ref="H9:I9"/>
    <mergeCell ref="H10:I10"/>
    <mergeCell ref="B3:C3"/>
    <mergeCell ref="B10:C10"/>
    <mergeCell ref="D10:E10"/>
    <mergeCell ref="D11:E11"/>
    <mergeCell ref="G3:I3"/>
  </mergeCells>
  <dataValidations count="1">
    <dataValidation type="list" allowBlank="1" showInputMessage="1" showErrorMessage="1" sqref="H9" xr:uid="{35D98FD4-5DDD-48BF-A6E0-6402FFE6F66F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51496-AAF7-4E0B-93EC-4242A314D222}">
  <dimension ref="A5:E17"/>
  <sheetViews>
    <sheetView workbookViewId="0">
      <selection activeCell="D6" sqref="D6:D17"/>
    </sheetView>
  </sheetViews>
  <sheetFormatPr defaultRowHeight="15"/>
  <cols>
    <col min="1" max="1" width="27.7109375" bestFit="1" customWidth="1"/>
    <col min="2" max="2" width="14.5703125" bestFit="1" customWidth="1"/>
    <col min="3" max="3" width="16.42578125" bestFit="1" customWidth="1"/>
  </cols>
  <sheetData>
    <row r="5" spans="1:5">
      <c r="B5" t="s">
        <v>28</v>
      </c>
      <c r="C5" t="s">
        <v>17</v>
      </c>
      <c r="D5" s="28" t="s">
        <v>18</v>
      </c>
    </row>
    <row r="6" spans="1:5">
      <c r="A6" t="str">
        <f>B6&amp;"-"&amp;C6</f>
        <v>conservador-PAPEL</v>
      </c>
      <c r="B6" t="s">
        <v>29</v>
      </c>
      <c r="C6" t="s">
        <v>21</v>
      </c>
      <c r="D6" s="52">
        <v>0.7</v>
      </c>
      <c r="E6">
        <v>0</v>
      </c>
    </row>
    <row r="7" spans="1:5">
      <c r="A7" t="str">
        <f t="shared" ref="A7:A17" si="0">B7&amp;"-"&amp;C7</f>
        <v>conservador-TIJOLO</v>
      </c>
      <c r="B7" t="s">
        <v>29</v>
      </c>
      <c r="C7" t="s">
        <v>23</v>
      </c>
      <c r="D7" s="52">
        <v>0.3</v>
      </c>
      <c r="E7">
        <v>0</v>
      </c>
    </row>
    <row r="8" spans="1:5">
      <c r="A8" t="str">
        <f t="shared" si="0"/>
        <v>conservador-HÍBRIDO</v>
      </c>
      <c r="B8" t="s">
        <v>29</v>
      </c>
      <c r="C8" t="s">
        <v>25</v>
      </c>
      <c r="D8" s="52">
        <v>0</v>
      </c>
      <c r="E8">
        <v>0</v>
      </c>
    </row>
    <row r="9" spans="1:5">
      <c r="A9" t="str">
        <f t="shared" si="0"/>
        <v>conservador-INFRAESTRUTURA</v>
      </c>
      <c r="B9" t="s">
        <v>29</v>
      </c>
      <c r="C9" t="s">
        <v>27</v>
      </c>
      <c r="D9" s="53">
        <v>0</v>
      </c>
      <c r="E9">
        <v>0</v>
      </c>
    </row>
    <row r="10" spans="1:5">
      <c r="A10" t="str">
        <f t="shared" si="0"/>
        <v>moderado-PAPEL</v>
      </c>
      <c r="B10" t="s">
        <v>12</v>
      </c>
      <c r="C10" t="s">
        <v>21</v>
      </c>
      <c r="D10" s="53">
        <v>0.6</v>
      </c>
      <c r="E10">
        <v>0.6</v>
      </c>
    </row>
    <row r="11" spans="1:5">
      <c r="A11" t="str">
        <f t="shared" si="0"/>
        <v>moderado-TIJOLO</v>
      </c>
      <c r="B11" t="s">
        <v>12</v>
      </c>
      <c r="C11" t="s">
        <v>23</v>
      </c>
      <c r="D11" s="53">
        <v>0.3</v>
      </c>
      <c r="E11">
        <v>0.3</v>
      </c>
    </row>
    <row r="12" spans="1:5">
      <c r="A12" t="str">
        <f t="shared" si="0"/>
        <v>moderado-HÍBRIDO</v>
      </c>
      <c r="B12" t="s">
        <v>12</v>
      </c>
      <c r="C12" t="s">
        <v>25</v>
      </c>
      <c r="D12" s="53">
        <v>0.1</v>
      </c>
      <c r="E12">
        <v>0.1</v>
      </c>
    </row>
    <row r="13" spans="1:5">
      <c r="A13" t="str">
        <f t="shared" si="0"/>
        <v>moderado-INFRAESTRUTURA</v>
      </c>
      <c r="B13" t="s">
        <v>12</v>
      </c>
      <c r="C13" t="s">
        <v>27</v>
      </c>
      <c r="D13" s="53">
        <v>0</v>
      </c>
      <c r="E13">
        <v>0</v>
      </c>
    </row>
    <row r="14" spans="1:5">
      <c r="A14" t="str">
        <f t="shared" si="0"/>
        <v>agressivo-PAPEL</v>
      </c>
      <c r="B14" t="s">
        <v>30</v>
      </c>
      <c r="C14" t="s">
        <v>21</v>
      </c>
      <c r="D14" s="53">
        <v>0.5</v>
      </c>
      <c r="E14">
        <v>0.5</v>
      </c>
    </row>
    <row r="15" spans="1:5">
      <c r="A15" t="str">
        <f t="shared" si="0"/>
        <v>agressivo-TIJOLO</v>
      </c>
      <c r="B15" t="s">
        <v>30</v>
      </c>
      <c r="C15" t="s">
        <v>23</v>
      </c>
      <c r="D15" s="53">
        <v>0.4</v>
      </c>
      <c r="E15">
        <v>0.4</v>
      </c>
    </row>
    <row r="16" spans="1:5">
      <c r="A16" t="str">
        <f t="shared" si="0"/>
        <v>agressivo-HÍBRIDO</v>
      </c>
      <c r="B16" t="s">
        <v>30</v>
      </c>
      <c r="C16" t="s">
        <v>25</v>
      </c>
      <c r="D16" s="53">
        <v>0</v>
      </c>
      <c r="E16">
        <v>0</v>
      </c>
    </row>
    <row r="17" spans="1:5">
      <c r="A17" t="str">
        <f t="shared" si="0"/>
        <v>agressivo-INFRAESTRUTURA</v>
      </c>
      <c r="B17" t="s">
        <v>30</v>
      </c>
      <c r="C17" t="s">
        <v>27</v>
      </c>
      <c r="D17" s="53">
        <v>0.1</v>
      </c>
      <c r="E17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Pedro Lucas Santana</cp:lastModifiedBy>
  <cp:revision/>
  <dcterms:created xsi:type="dcterms:W3CDTF">2025-12-22T11:24:39Z</dcterms:created>
  <dcterms:modified xsi:type="dcterms:W3CDTF">2025-12-22T18:18:47Z</dcterms:modified>
  <cp:category/>
  <cp:contentStatus/>
</cp:coreProperties>
</file>